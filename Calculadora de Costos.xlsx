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uz\Documents\Ramses Marciaga\"/>
    </mc:Choice>
  </mc:AlternateContent>
  <xr:revisionPtr revIDLastSave="0" documentId="13_ncr:1_{8408EDCE-7D19-488A-9659-83F647F1A156}" xr6:coauthVersionLast="47" xr6:coauthVersionMax="47" xr10:uidLastSave="{00000000-0000-0000-0000-000000000000}"/>
  <bookViews>
    <workbookView xWindow="20370" yWindow="555" windowWidth="19440" windowHeight="15600" xr2:uid="{1320F5AE-074B-4D35-B733-45F727E2386E}"/>
  </bookViews>
  <sheets>
    <sheet name="Calculadora" sheetId="1" r:id="rId1"/>
    <sheet name="Base de Dat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D2" i="1"/>
  <c r="D3" i="1"/>
  <c r="D4" i="1"/>
  <c r="D5" i="1"/>
  <c r="D6" i="1"/>
  <c r="D7" i="1"/>
  <c r="D8" i="1"/>
  <c r="D9" i="1"/>
  <c r="D10" i="1"/>
  <c r="D11" i="1"/>
  <c r="D12" i="1"/>
  <c r="D13" i="1"/>
  <c r="E12" i="1"/>
  <c r="E13" i="1"/>
  <c r="E3" i="1"/>
  <c r="F3" i="1" s="1"/>
  <c r="E4" i="1"/>
  <c r="F4" i="1" s="1"/>
  <c r="E5" i="1"/>
  <c r="E6" i="1"/>
  <c r="F6" i="1" s="1"/>
  <c r="E7" i="1"/>
  <c r="F7" i="1" s="1"/>
  <c r="E8" i="1"/>
  <c r="F8" i="1" s="1"/>
  <c r="G8" i="1" s="1"/>
  <c r="E9" i="1"/>
  <c r="E10" i="1"/>
  <c r="F10" i="1" s="1"/>
  <c r="E11" i="1"/>
  <c r="F11" i="1" s="1"/>
  <c r="E2" i="1"/>
  <c r="F2" i="1" s="1"/>
  <c r="G4" i="1" l="1"/>
  <c r="G11" i="1"/>
  <c r="G7" i="1"/>
  <c r="G6" i="1"/>
  <c r="G2" i="1"/>
  <c r="G3" i="1"/>
  <c r="G10" i="1"/>
  <c r="F13" i="1"/>
  <c r="G13" i="1" s="1"/>
  <c r="F9" i="1"/>
  <c r="G9" i="1" s="1"/>
  <c r="F5" i="1"/>
  <c r="G5" i="1" s="1"/>
  <c r="F12" i="1"/>
  <c r="G12" i="1" s="1"/>
</calcChain>
</file>

<file path=xl/sharedStrings.xml><?xml version="1.0" encoding="utf-8"?>
<sst xmlns="http://schemas.openxmlformats.org/spreadsheetml/2006/main" count="63" uniqueCount="41">
  <si>
    <t>Código del Producto</t>
  </si>
  <si>
    <t xml:space="preserve">Cantidad a Comprar </t>
  </si>
  <si>
    <t>Descuento (%)</t>
  </si>
  <si>
    <t>Costo Unitario</t>
  </si>
  <si>
    <t>Costo Total</t>
  </si>
  <si>
    <t>Costo con Descuento</t>
  </si>
  <si>
    <t>Código</t>
  </si>
  <si>
    <t>Producto</t>
  </si>
  <si>
    <t>Categoría</t>
  </si>
  <si>
    <t>Stock</t>
  </si>
  <si>
    <t>Monitor</t>
  </si>
  <si>
    <t>Electrónica</t>
  </si>
  <si>
    <t>Impresora</t>
  </si>
  <si>
    <t>Oficina</t>
  </si>
  <si>
    <t>Escritorio</t>
  </si>
  <si>
    <t>Muebles</t>
  </si>
  <si>
    <t>Silla Ergonómica</t>
  </si>
  <si>
    <t>Audífonos</t>
  </si>
  <si>
    <t>Disco Duro Externo</t>
  </si>
  <si>
    <t>Almacenamiento</t>
  </si>
  <si>
    <t>Memoria USB</t>
  </si>
  <si>
    <t>Webcam</t>
  </si>
  <si>
    <t>Router WiFi</t>
  </si>
  <si>
    <t>Proyector</t>
  </si>
  <si>
    <t>Tableta Gráfica</t>
  </si>
  <si>
    <t>Mochila para Laptop</t>
  </si>
  <si>
    <t>Accesorios</t>
  </si>
  <si>
    <t>Reloj</t>
  </si>
  <si>
    <t>R-0001</t>
  </si>
  <si>
    <t>R-0002</t>
  </si>
  <si>
    <t>R-0003</t>
  </si>
  <si>
    <t>R-0004</t>
  </si>
  <si>
    <t>R-0005</t>
  </si>
  <si>
    <t>R-0006</t>
  </si>
  <si>
    <t>R-0007</t>
  </si>
  <si>
    <t>R-0008</t>
  </si>
  <si>
    <t>R-0009</t>
  </si>
  <si>
    <t>R-0010</t>
  </si>
  <si>
    <t>R-0011</t>
  </si>
  <si>
    <t>R-0012</t>
  </si>
  <si>
    <t>R-0013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</si>
</sst>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B/.&quot;* #,##0.00_-;\-&quot;B/.&quot;* #,##0.00_-;_-&quot;B/.&quot;* &quot;-&quot;??_-;_-@_-"/>
    <numFmt numFmtId="168" formatCode="_-[$B/.-180A]* #,##0.00_-;\-[$B/.-180A]* #,##0.00_-;_-[$B/.-180A]* &quot;-&quot;??_-;_-@_-"/>
    <numFmt numFmtId="169" formatCode="000"/>
    <numFmt numFmtId="170" formatCode="\R\-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9" fontId="2" fillId="0" borderId="0" xfId="2" applyFont="1"/>
    <xf numFmtId="0" fontId="2" fillId="0" borderId="0" xfId="0" applyFont="1" applyAlignment="1">
      <alignment horizontal="center"/>
    </xf>
    <xf numFmtId="44" fontId="2" fillId="0" borderId="0" xfId="1" applyFont="1"/>
    <xf numFmtId="49" fontId="4" fillId="0" borderId="0" xfId="0" applyNumberFormat="1" applyFont="1" applyAlignment="1">
      <alignment horizontal="center"/>
    </xf>
    <xf numFmtId="0" fontId="4" fillId="0" borderId="0" xfId="0" applyFont="1"/>
    <xf numFmtId="9" fontId="4" fillId="0" borderId="0" xfId="2" applyFont="1"/>
    <xf numFmtId="168" fontId="2" fillId="0" borderId="0" xfId="1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0" fontId="4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70" formatCode="\R\-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9" formatCode="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-&quot;B/.&quot;* #,##0.00_-;\-&quot;B/.&quot;* #,##0.00_-;_-&quot;B/.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8" formatCode="_-[$B/.-180A]* #,##0.00_-;\-[$B/.-180A]* #,##0.00_-;_-[$B/.-180A]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C639D7-21B7-4D04-B714-A12F7B5FA330}" name="Tabla2" displayName="Tabla2" ref="A1:G13" totalsRowShown="0" headerRowDxfId="10" dataDxfId="9" dataCellStyle="Moneda">
  <autoFilter ref="A1:G13" xr:uid="{4AC639D7-21B7-4D04-B714-A12F7B5FA330}"/>
  <tableColumns count="7">
    <tableColumn id="1" xr3:uid="{B7277812-8BF6-4CD6-A832-5C5F6B44EEA5}" name="Código del Producto" dataDxfId="2"/>
    <tableColumn id="7" xr3:uid="{B695D3E1-C9AC-4CD4-927A-271A83800C4B}" name="Producto" dataDxfId="8">
      <calculatedColumnFormula>VLOOKUP(Tabla2[[#This Row],[Código del Producto]],'Base de Datos'!A:B,2,0)</calculatedColumnFormula>
    </tableColumn>
    <tableColumn id="2" xr3:uid="{B9048A10-7451-4EB2-9062-BF69674EBCF8}" name="Cantidad a Comprar " dataDxfId="7"/>
    <tableColumn id="3" xr3:uid="{66A16AA9-6EB6-41D1-952B-5C4C057DE274}" name="Descuento (%)" dataDxfId="6" dataCellStyle="Porcentaje">
      <calculatedColumnFormula>IF(C2&lt;15,"0%",IF(C2&lt;30,"15%",IF(C2&lt;50,"30%",IF(C2&gt;50,"50%"))))</calculatedColumnFormula>
    </tableColumn>
    <tableColumn id="4" xr3:uid="{34CDDCB2-C0D4-4B2F-935B-311DD73238D8}" name="Costo Unitario" dataDxfId="5" dataCellStyle="Moneda">
      <calculatedColumnFormula>VLOOKUP(A2,'Base de Datos'!A:D,4,0)</calculatedColumnFormula>
    </tableColumn>
    <tableColumn id="5" xr3:uid="{185149D7-0DF6-4F6D-B585-B5EE9B644626}" name="Costo Total" dataDxfId="4" dataCellStyle="Moneda">
      <calculatedColumnFormula>C2*E2</calculatedColumnFormula>
    </tableColumn>
    <tableColumn id="6" xr3:uid="{60C28FFF-1FE9-4C4A-853F-3DBFF2E45240}" name="Costo con Descuento" dataDxfId="3" dataCellStyle="Moneda">
      <calculatedColumnFormula>IF(D2&gt;0,F2- (F2*D2),F2)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BA78EA-1850-402C-8835-3558B35F155B}" name="Tabla1" displayName="Tabla1" ref="A1:E14" totalsRowShown="0" headerRowDxfId="16" dataDxfId="11">
  <autoFilter ref="A1:E14" xr:uid="{C5BA78EA-1850-402C-8835-3558B35F155B}"/>
  <tableColumns count="5">
    <tableColumn id="1" xr3:uid="{E77059E7-3C9A-474D-A8B2-C0848DCADB19}" name="Código" dataDxfId="1"/>
    <tableColumn id="2" xr3:uid="{80E7E54D-D4D0-4E7B-8E68-03F955939CEC}" name="Producto" dataDxfId="15"/>
    <tableColumn id="3" xr3:uid="{07634882-5A70-42D3-80B9-B41E98BCB891}" name="Categoría" dataDxfId="14"/>
    <tableColumn id="4" xr3:uid="{44C38F32-DD24-469D-A2E2-317DF6EF1558}" name="Costo Unitario" dataDxfId="13" dataCellStyle="Moneda"/>
    <tableColumn id="5" xr3:uid="{F5233E71-FFFA-49C1-99E9-30C4500D2CA3}" name="Stock" dataDxfId="1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5C86-6EF9-4314-A695-97F5E9F5D40E}">
  <dimension ref="A1:G13"/>
  <sheetViews>
    <sheetView showGridLines="0" tabSelected="1" workbookViewId="0">
      <selection activeCell="A4" sqref="A4"/>
    </sheetView>
  </sheetViews>
  <sheetFormatPr baseColWidth="10" defaultRowHeight="15.75" x14ac:dyDescent="0.25"/>
  <cols>
    <col min="1" max="1" width="30.140625" style="3" bestFit="1" customWidth="1"/>
    <col min="2" max="2" width="27" style="12" customWidth="1"/>
    <col min="3" max="3" width="14.28515625" style="1" customWidth="1"/>
    <col min="4" max="4" width="20.85546875" style="2" bestFit="1" customWidth="1"/>
    <col min="5" max="5" width="20.85546875" style="1" bestFit="1" customWidth="1"/>
    <col min="6" max="6" width="17.42578125" style="1" bestFit="1" customWidth="1"/>
    <col min="7" max="7" width="28.42578125" style="1" bestFit="1" customWidth="1"/>
    <col min="8" max="16384" width="11.42578125" style="1"/>
  </cols>
  <sheetData>
    <row r="1" spans="1:7" ht="18.75" x14ac:dyDescent="0.3">
      <c r="A1" s="5" t="s">
        <v>0</v>
      </c>
      <c r="B1" s="11" t="s">
        <v>7</v>
      </c>
      <c r="C1" s="6" t="s">
        <v>1</v>
      </c>
      <c r="D1" s="7" t="s">
        <v>2</v>
      </c>
      <c r="E1" s="6" t="s">
        <v>3</v>
      </c>
      <c r="F1" s="6" t="s">
        <v>4</v>
      </c>
      <c r="G1" s="6" t="s">
        <v>5</v>
      </c>
    </row>
    <row r="2" spans="1:7" x14ac:dyDescent="0.25">
      <c r="A2" s="13" t="s">
        <v>28</v>
      </c>
      <c r="B2" s="12" t="str">
        <f>VLOOKUP(Tabla2[[#This Row],[Código del Producto]],'Base de Datos'!A:B,2,0)</f>
        <v>Monitor</v>
      </c>
      <c r="C2" s="9">
        <v>20</v>
      </c>
      <c r="D2" s="10" t="str">
        <f t="shared" ref="D2:D13" si="0">IF(C2&lt;15,"0%",IF(C2&lt;30,"15%",IF(C2&lt;50,"30%",IF(C2&gt;50,"50%"))))</f>
        <v>15%</v>
      </c>
      <c r="E2" s="4">
        <f>VLOOKUP(A2,'Base de Datos'!A:D,4,0)</f>
        <v>280</v>
      </c>
      <c r="F2" s="4">
        <f>C2*E2</f>
        <v>5600</v>
      </c>
      <c r="G2" s="4">
        <f t="shared" ref="G2:G13" si="1">IF(D2&gt;0,F2- (F2*D2),F2)</f>
        <v>4760</v>
      </c>
    </row>
    <row r="3" spans="1:7" x14ac:dyDescent="0.25">
      <c r="A3" s="13" t="s">
        <v>29</v>
      </c>
      <c r="B3" s="12" t="str">
        <f>VLOOKUP(Tabla2[[#This Row],[Código del Producto]],'Base de Datos'!A:B,2,0)</f>
        <v>Impresora</v>
      </c>
      <c r="C3" s="9">
        <v>25</v>
      </c>
      <c r="D3" s="10" t="str">
        <f t="shared" si="0"/>
        <v>15%</v>
      </c>
      <c r="E3" s="4">
        <f>VLOOKUP(A3,'Base de Datos'!A:D,4,0)</f>
        <v>200</v>
      </c>
      <c r="F3" s="4">
        <f t="shared" ref="F3:F11" si="2">C3*E3</f>
        <v>5000</v>
      </c>
      <c r="G3" s="4">
        <f t="shared" si="1"/>
        <v>4250</v>
      </c>
    </row>
    <row r="4" spans="1:7" x14ac:dyDescent="0.25">
      <c r="A4" s="13" t="s">
        <v>30</v>
      </c>
      <c r="B4" s="12" t="str">
        <f>VLOOKUP(Tabla2[[#This Row],[Código del Producto]],'Base de Datos'!A:B,2,0)</f>
        <v>Escritorio</v>
      </c>
      <c r="C4" s="9">
        <v>5</v>
      </c>
      <c r="D4" s="10" t="str">
        <f t="shared" si="0"/>
        <v>0%</v>
      </c>
      <c r="E4" s="4">
        <f>VLOOKUP(A4,'Base de Datos'!A:D,4,0)</f>
        <v>350</v>
      </c>
      <c r="F4" s="4">
        <f t="shared" si="2"/>
        <v>1750</v>
      </c>
      <c r="G4" s="4">
        <f t="shared" si="1"/>
        <v>1750</v>
      </c>
    </row>
    <row r="5" spans="1:7" x14ac:dyDescent="0.25">
      <c r="A5" s="13" t="s">
        <v>31</v>
      </c>
      <c r="B5" s="12" t="str">
        <f>VLOOKUP(Tabla2[[#This Row],[Código del Producto]],'Base de Datos'!A:B,2,0)</f>
        <v>Silla Ergonómica</v>
      </c>
      <c r="C5" s="9">
        <v>10</v>
      </c>
      <c r="D5" s="10" t="str">
        <f t="shared" si="0"/>
        <v>0%</v>
      </c>
      <c r="E5" s="4">
        <f>VLOOKUP(A5,'Base de Datos'!A:D,4,0)</f>
        <v>180</v>
      </c>
      <c r="F5" s="4">
        <f t="shared" si="2"/>
        <v>1800</v>
      </c>
      <c r="G5" s="4">
        <f t="shared" si="1"/>
        <v>1800</v>
      </c>
    </row>
    <row r="6" spans="1:7" x14ac:dyDescent="0.25">
      <c r="A6" s="13" t="s">
        <v>32</v>
      </c>
      <c r="B6" s="12" t="str">
        <f>VLOOKUP(Tabla2[[#This Row],[Código del Producto]],'Base de Datos'!A:B,2,0)</f>
        <v>Audífonos</v>
      </c>
      <c r="C6" s="9">
        <v>10</v>
      </c>
      <c r="D6" s="10" t="str">
        <f t="shared" si="0"/>
        <v>0%</v>
      </c>
      <c r="E6" s="4">
        <f>VLOOKUP(A6,'Base de Datos'!A:D,4,0)</f>
        <v>75</v>
      </c>
      <c r="F6" s="4">
        <f t="shared" si="2"/>
        <v>750</v>
      </c>
      <c r="G6" s="4">
        <f t="shared" si="1"/>
        <v>750</v>
      </c>
    </row>
    <row r="7" spans="1:7" x14ac:dyDescent="0.25">
      <c r="A7" s="13" t="s">
        <v>33</v>
      </c>
      <c r="B7" s="12" t="str">
        <f>VLOOKUP(Tabla2[[#This Row],[Código del Producto]],'Base de Datos'!A:B,2,0)</f>
        <v>Disco Duro Externo</v>
      </c>
      <c r="C7" s="9">
        <v>20</v>
      </c>
      <c r="D7" s="10" t="str">
        <f t="shared" si="0"/>
        <v>15%</v>
      </c>
      <c r="E7" s="4">
        <f>VLOOKUP(A7,'Base de Datos'!A:D,4,0)</f>
        <v>110</v>
      </c>
      <c r="F7" s="4">
        <f t="shared" si="2"/>
        <v>2200</v>
      </c>
      <c r="G7" s="4">
        <f t="shared" si="1"/>
        <v>1870</v>
      </c>
    </row>
    <row r="8" spans="1:7" x14ac:dyDescent="0.25">
      <c r="A8" s="13" t="s">
        <v>34</v>
      </c>
      <c r="B8" s="12" t="str">
        <f>VLOOKUP(Tabla2[[#This Row],[Código del Producto]],'Base de Datos'!A:B,2,0)</f>
        <v>Memoria USB</v>
      </c>
      <c r="C8" s="9">
        <v>99</v>
      </c>
      <c r="D8" s="10" t="str">
        <f t="shared" si="0"/>
        <v>50%</v>
      </c>
      <c r="E8" s="4">
        <f>VLOOKUP(A8,'Base de Datos'!A:D,4,0)</f>
        <v>20</v>
      </c>
      <c r="F8" s="4">
        <f t="shared" si="2"/>
        <v>1980</v>
      </c>
      <c r="G8" s="4">
        <f t="shared" si="1"/>
        <v>990</v>
      </c>
    </row>
    <row r="9" spans="1:7" x14ac:dyDescent="0.25">
      <c r="A9" s="13" t="s">
        <v>35</v>
      </c>
      <c r="B9" s="12" t="str">
        <f>VLOOKUP(Tabla2[[#This Row],[Código del Producto]],'Base de Datos'!A:B,2,0)</f>
        <v>Webcam</v>
      </c>
      <c r="C9" s="9">
        <v>51</v>
      </c>
      <c r="D9" s="10" t="str">
        <f t="shared" si="0"/>
        <v>50%</v>
      </c>
      <c r="E9" s="4">
        <f>VLOOKUP(A9,'Base de Datos'!A:D,4,0)</f>
        <v>90</v>
      </c>
      <c r="F9" s="4">
        <f t="shared" si="2"/>
        <v>4590</v>
      </c>
      <c r="G9" s="4">
        <f t="shared" si="1"/>
        <v>2295</v>
      </c>
    </row>
    <row r="10" spans="1:7" x14ac:dyDescent="0.25">
      <c r="A10" s="13" t="s">
        <v>36</v>
      </c>
      <c r="B10" s="12" t="str">
        <f>VLOOKUP(Tabla2[[#This Row],[Código del Producto]],'Base de Datos'!A:B,2,0)</f>
        <v>Router WiFi</v>
      </c>
      <c r="C10" s="9">
        <v>25</v>
      </c>
      <c r="D10" s="10" t="str">
        <f t="shared" si="0"/>
        <v>15%</v>
      </c>
      <c r="E10" s="4">
        <f>VLOOKUP(A10,'Base de Datos'!A:D,4,0)</f>
        <v>130</v>
      </c>
      <c r="F10" s="4">
        <f t="shared" si="2"/>
        <v>3250</v>
      </c>
      <c r="G10" s="4">
        <f t="shared" si="1"/>
        <v>2762.5</v>
      </c>
    </row>
    <row r="11" spans="1:7" x14ac:dyDescent="0.25">
      <c r="A11" s="13" t="s">
        <v>37</v>
      </c>
      <c r="B11" s="12" t="str">
        <f>VLOOKUP(Tabla2[[#This Row],[Código del Producto]],'Base de Datos'!A:B,2,0)</f>
        <v>Proyector</v>
      </c>
      <c r="C11" s="9">
        <v>5</v>
      </c>
      <c r="D11" s="10" t="str">
        <f t="shared" si="0"/>
        <v>0%</v>
      </c>
      <c r="E11" s="4">
        <f>VLOOKUP(A11,'Base de Datos'!A:D,4,0)</f>
        <v>500</v>
      </c>
      <c r="F11" s="4">
        <f t="shared" si="2"/>
        <v>2500</v>
      </c>
      <c r="G11" s="4">
        <f t="shared" si="1"/>
        <v>2500</v>
      </c>
    </row>
    <row r="12" spans="1:7" x14ac:dyDescent="0.25">
      <c r="A12" s="13" t="s">
        <v>38</v>
      </c>
      <c r="B12" s="12" t="str">
        <f>VLOOKUP(Tabla2[[#This Row],[Código del Producto]],'Base de Datos'!A:B,2,0)</f>
        <v>Tableta Gráfica</v>
      </c>
      <c r="C12" s="9">
        <v>2</v>
      </c>
      <c r="D12" s="10" t="str">
        <f t="shared" si="0"/>
        <v>0%</v>
      </c>
      <c r="E12" s="4">
        <f>VLOOKUP(A12,'Base de Datos'!A:D,4,0)</f>
        <v>250</v>
      </c>
      <c r="F12" s="4">
        <f t="shared" ref="F12:F13" si="3">C12*E12</f>
        <v>500</v>
      </c>
      <c r="G12" s="4">
        <f t="shared" si="1"/>
        <v>500</v>
      </c>
    </row>
    <row r="13" spans="1:7" x14ac:dyDescent="0.25">
      <c r="A13" s="13" t="s">
        <v>39</v>
      </c>
      <c r="B13" s="12" t="str">
        <f>VLOOKUP(Tabla2[[#This Row],[Código del Producto]],'Base de Datos'!A:B,2,0)</f>
        <v>Mochila para Laptop</v>
      </c>
      <c r="C13" s="9">
        <v>15</v>
      </c>
      <c r="D13" s="10" t="str">
        <f t="shared" si="0"/>
        <v>15%</v>
      </c>
      <c r="E13" s="4">
        <f>VLOOKUP(A13,'Base de Datos'!A:D,4,0)</f>
        <v>40</v>
      </c>
      <c r="F13" s="4">
        <f t="shared" si="3"/>
        <v>600</v>
      </c>
      <c r="G13" s="4">
        <f t="shared" si="1"/>
        <v>510</v>
      </c>
    </row>
  </sheetData>
  <phoneticPr fontId="3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whole" allowBlank="1" showInputMessage="1" showErrorMessage="1" errorTitle="Stock Insuficiente" error="&quot;La cantidad ingresada excede el stock disponible. Por favor, ingrese un número menor o igual al stock actual.&quot;" xr:uid="{79A857FF-EFF8-4261-BE4B-64F12DFB83AF}">
          <x14:formula1>
            <xm:f>1</xm:f>
          </x14:formula1>
          <x14:formula2>
            <xm:f>VLOOKUP(A2,'Base de Datos'!A:E,5,0)</xm:f>
          </x14:formula2>
          <xm:sqref>C2:C13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F78D-AACD-40F7-BA6D-E8044A11FFDE}">
  <dimension ref="A1:E14"/>
  <sheetViews>
    <sheetView showGridLines="0" workbookViewId="0">
      <selection activeCell="C23" sqref="C23"/>
    </sheetView>
  </sheetViews>
  <sheetFormatPr baseColWidth="10" defaultRowHeight="15" x14ac:dyDescent="0.25"/>
  <cols>
    <col min="1" max="1" width="14.28515625" bestFit="1" customWidth="1"/>
    <col min="2" max="2" width="19.42578125" bestFit="1" customWidth="1"/>
    <col min="3" max="3" width="17.5703125" bestFit="1" customWidth="1"/>
    <col min="4" max="4" width="23.140625" bestFit="1" customWidth="1"/>
    <col min="5" max="5" width="12.5703125" bestFit="1" customWidth="1"/>
  </cols>
  <sheetData>
    <row r="1" spans="1:5" ht="18.75" x14ac:dyDescent="0.3">
      <c r="A1" s="5" t="s">
        <v>6</v>
      </c>
      <c r="B1" s="5" t="s">
        <v>7</v>
      </c>
      <c r="C1" s="5" t="s">
        <v>8</v>
      </c>
      <c r="D1" s="5" t="s">
        <v>3</v>
      </c>
      <c r="E1" s="5" t="s">
        <v>9</v>
      </c>
    </row>
    <row r="2" spans="1:5" ht="15.75" x14ac:dyDescent="0.25">
      <c r="A2" s="14" t="s">
        <v>28</v>
      </c>
      <c r="B2" s="1" t="s">
        <v>10</v>
      </c>
      <c r="C2" s="1" t="s">
        <v>11</v>
      </c>
      <c r="D2" s="8">
        <v>280</v>
      </c>
      <c r="E2" s="1">
        <v>30</v>
      </c>
    </row>
    <row r="3" spans="1:5" ht="15.75" x14ac:dyDescent="0.25">
      <c r="A3" s="14" t="s">
        <v>29</v>
      </c>
      <c r="B3" s="1" t="s">
        <v>12</v>
      </c>
      <c r="C3" s="1" t="s">
        <v>13</v>
      </c>
      <c r="D3" s="8">
        <v>200</v>
      </c>
      <c r="E3" s="1">
        <v>15</v>
      </c>
    </row>
    <row r="4" spans="1:5" ht="15.75" x14ac:dyDescent="0.25">
      <c r="A4" s="14" t="s">
        <v>30</v>
      </c>
      <c r="B4" s="1" t="s">
        <v>14</v>
      </c>
      <c r="C4" s="1" t="s">
        <v>15</v>
      </c>
      <c r="D4" s="8">
        <v>350</v>
      </c>
      <c r="E4" s="1">
        <v>10</v>
      </c>
    </row>
    <row r="5" spans="1:5" ht="15.75" x14ac:dyDescent="0.25">
      <c r="A5" s="14" t="s">
        <v>31</v>
      </c>
      <c r="B5" s="1" t="s">
        <v>16</v>
      </c>
      <c r="C5" s="1" t="s">
        <v>15</v>
      </c>
      <c r="D5" s="8">
        <v>180</v>
      </c>
      <c r="E5" s="1">
        <v>25</v>
      </c>
    </row>
    <row r="6" spans="1:5" ht="15.75" x14ac:dyDescent="0.25">
      <c r="A6" s="14" t="s">
        <v>32</v>
      </c>
      <c r="B6" s="1" t="s">
        <v>17</v>
      </c>
      <c r="C6" s="1" t="s">
        <v>11</v>
      </c>
      <c r="D6" s="8">
        <v>75</v>
      </c>
      <c r="E6" s="1">
        <v>120</v>
      </c>
    </row>
    <row r="7" spans="1:5" ht="15.75" x14ac:dyDescent="0.25">
      <c r="A7" s="14" t="s">
        <v>33</v>
      </c>
      <c r="B7" s="1" t="s">
        <v>18</v>
      </c>
      <c r="C7" s="1" t="s">
        <v>19</v>
      </c>
      <c r="D7" s="8">
        <v>110</v>
      </c>
      <c r="E7" s="1">
        <v>50</v>
      </c>
    </row>
    <row r="8" spans="1:5" ht="15.75" x14ac:dyDescent="0.25">
      <c r="A8" s="14" t="s">
        <v>34</v>
      </c>
      <c r="B8" s="1" t="s">
        <v>20</v>
      </c>
      <c r="C8" s="1" t="s">
        <v>19</v>
      </c>
      <c r="D8" s="8">
        <v>20</v>
      </c>
      <c r="E8" s="1">
        <v>300</v>
      </c>
    </row>
    <row r="9" spans="1:5" ht="15.75" x14ac:dyDescent="0.25">
      <c r="A9" s="14" t="s">
        <v>35</v>
      </c>
      <c r="B9" s="1" t="s">
        <v>21</v>
      </c>
      <c r="C9" s="1" t="s">
        <v>11</v>
      </c>
      <c r="D9" s="8">
        <v>90</v>
      </c>
      <c r="E9" s="1">
        <v>60</v>
      </c>
    </row>
    <row r="10" spans="1:5" ht="15.75" x14ac:dyDescent="0.25">
      <c r="A10" s="14" t="s">
        <v>36</v>
      </c>
      <c r="B10" s="1" t="s">
        <v>22</v>
      </c>
      <c r="C10" s="1" t="s">
        <v>11</v>
      </c>
      <c r="D10" s="8">
        <v>130</v>
      </c>
      <c r="E10" s="1">
        <v>40</v>
      </c>
    </row>
    <row r="11" spans="1:5" ht="15.75" x14ac:dyDescent="0.25">
      <c r="A11" s="14" t="s">
        <v>37</v>
      </c>
      <c r="B11" s="1" t="s">
        <v>23</v>
      </c>
      <c r="C11" s="1" t="s">
        <v>13</v>
      </c>
      <c r="D11" s="8">
        <v>500</v>
      </c>
      <c r="E11" s="1">
        <v>8</v>
      </c>
    </row>
    <row r="12" spans="1:5" ht="15.75" x14ac:dyDescent="0.25">
      <c r="A12" s="14" t="s">
        <v>38</v>
      </c>
      <c r="B12" s="1" t="s">
        <v>24</v>
      </c>
      <c r="C12" s="1" t="s">
        <v>11</v>
      </c>
      <c r="D12" s="8">
        <v>250</v>
      </c>
      <c r="E12" s="1">
        <v>12</v>
      </c>
    </row>
    <row r="13" spans="1:5" ht="15.75" x14ac:dyDescent="0.25">
      <c r="A13" s="14" t="s">
        <v>39</v>
      </c>
      <c r="B13" s="1" t="s">
        <v>25</v>
      </c>
      <c r="C13" s="1" t="s">
        <v>26</v>
      </c>
      <c r="D13" s="8">
        <v>40</v>
      </c>
      <c r="E13" s="1">
        <v>100</v>
      </c>
    </row>
    <row r="14" spans="1:5" ht="15.75" x14ac:dyDescent="0.25">
      <c r="A14" s="14" t="s">
        <v>40</v>
      </c>
      <c r="B14" s="1" t="s">
        <v>27</v>
      </c>
      <c r="C14" s="1" t="s">
        <v>11</v>
      </c>
      <c r="D14" s="8">
        <v>15</v>
      </c>
      <c r="E14" s="1">
        <v>20</v>
      </c>
    </row>
  </sheetData>
  <phoneticPr fontId="3" type="noConversion"/>
  <conditionalFormatting sqref="E2:E14">
    <cfRule type="cellIs" dxfId="0" priority="1" operator="lessThan">
      <formula>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Calculadora</vt:lpstr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Ramses Eduardo Marciaga Sanchez</dc:creator>
  <cp:lastModifiedBy>Ramses Eduardo Marciaga Sanchez</cp:lastModifiedBy>
  <dcterms:created xsi:type="dcterms:W3CDTF">2025-02-12T02:30:17Z</dcterms:created>
  <dcterms:modified xsi:type="dcterms:W3CDTF">2025-02-12T03:37:19Z</dcterms:modified>
</cp:coreProperties>
</file>